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1 chart" sheetId="2" state="visible" r:id="rId4"/>
  </sheets>
  <definedNames>
    <definedName function="false" hidden="false" localSheetId="1" name="_xlnm.Print_Area" vbProcedure="false">'Figure 1 chart'!$A$1:$O$30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<sst xmlns="http://schemas.openxmlformats.org/spreadsheetml/2006/main" count="28" uniqueCount="22">
  <si>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t xml:space="preserve">MMAS-8 item (nonadherent response)</t>
  </si>
  <si>
    <t xml:space="preserve">Type</t>
  </si>
  <si>
    <t xml:space="preserve">n</t>
  </si>
  <si>
    <t xml:space="preserve">N</t>
  </si>
  <si>
    <t xml:space="preserve">Percent</t>
  </si>
  <si>
    <t xml:space="preserve">95% CI lower</t>
  </si>
  <si>
    <t xml:space="preserve">95% CI upper</t>
  </si>
  <si>
    <t xml:space="preserve">Unintentional (memory, routine)</t>
  </si>
  <si>
    <t xml:space="preserve">Intentional (decision to omit or stop)</t>
  </si>
  <si>
    <t xml:space="preserve">Error minus</t>
  </si>
  <si>
    <t xml:space="preserve">Error plus</t>
  </si>
  <si>
    <t xml:space="preserve">Difficulty remembering all doses</t>
  </si>
  <si>
    <t xml:space="preserve">Unintentional</t>
  </si>
  <si>
    <t xml:space="preserve">Feels hassled by the daily regimen</t>
  </si>
  <si>
    <t xml:space="preserve">Intentional</t>
  </si>
  <si>
    <t xml:space="preserve">Forgets medicine when traveling</t>
  </si>
  <si>
    <t xml:space="preserve">Did not take a dose yesterday</t>
  </si>
  <si>
    <t xml:space="preserve">Stops when symptoms feel controlled</t>
  </si>
  <si>
    <t xml:space="preserve">Missed doses for reasons other than forgetting</t>
  </si>
  <si>
    <t xml:space="preserve">Sometimes forgets to take pills</t>
  </si>
  <si>
    <t xml:space="preserve">Cut back or stopped because felt worse</t>
  </si>
  <si>
    <t xml:space="preserve">Source: study questionnaire, patients receiving DOTS at 3 hospitals, Nsukka, Enugu State, Nigeria, July–August 2016 (N = 250). 95% CIs are Wilson score intervals.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</si>
</sst>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theme="1"/>
      <name val="Times New Roman"/>
      <family val="1"/>
      <charset val="1"/>
    </font>
    <font>
      <b val="true"/>
      <sz val="10.5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'Figure 1'!H1</c:f>
              <c:strCache>
                <c:ptCount val="1"/>
                <c:pt idx="0">
                  <c:v>Unintentional (memory, routine)</c:v>
                </c:pt>
              </c:strCache>
            </c:strRef>
          </c:tx>
          <c:spPr>
            <a:solidFill>
              <a:srgbClr val="1F4E99"/>
            </a:solidFill>
            <a:ln w="936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'Figure 1'!$K$2:$K$9</c:f>
                <c:numCache>
                  <c:formatCode>0.0</c:formatCode>
                  <c:ptCount val="8"/>
                  <c:pt idx="0">
                    <c:v>5.9</c:v>
                  </c:pt>
                  <c:pt idx="1">
                    <c:v>5.1</c:v>
                  </c:pt>
                  <c:pt idx="2">
                    <c:v>5</c:v>
                  </c:pt>
                  <c:pt idx="3">
                    <c:v>5</c:v>
                  </c:pt>
                  <c:pt idx="4">
                    <c:v>4.8</c:v>
                  </c:pt>
                  <c:pt idx="5">
                    <c:v>4.6</c:v>
                  </c:pt>
                  <c:pt idx="6">
                    <c:v>4.4</c:v>
                  </c:pt>
                  <c:pt idx="7">
                    <c:v>3.9</c:v>
                  </c:pt>
                </c:numCache>
              </c:numRef>
            </c:plus>
            <c:minus>
              <c:numRef>
                <c:f>'Figure 1'!$J$2:$J$9</c:f>
                <c:numCache>
                  <c:formatCode>0.0</c:formatCode>
                  <c:ptCount val="8"/>
                  <c:pt idx="0">
                    <c:v>5.2</c:v>
                  </c:pt>
                  <c:pt idx="1">
                    <c:v>4</c:v>
                  </c:pt>
                  <c:pt idx="2">
                    <c:v>3.9</c:v>
                  </c:pt>
                  <c:pt idx="3">
                    <c:v>3.9</c:v>
                  </c:pt>
                  <c:pt idx="4">
                    <c:v>3.8</c:v>
                  </c:pt>
                  <c:pt idx="5">
                    <c:v>3.4</c:v>
                  </c:pt>
                  <c:pt idx="6">
                    <c:v>3.2</c:v>
                  </c:pt>
                  <c:pt idx="7">
                    <c:v>2.6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'Figure 1'!$A$2:$A$9</c:f>
              <c:strCache>
                <c:ptCount val="8"/>
                <c:pt idx="0">
                  <c:v>Difficulty remembering all doses</c:v>
                </c:pt>
                <c:pt idx="1">
                  <c:v>Feels hassled by the daily regimen</c:v>
                </c:pt>
                <c:pt idx="2">
                  <c:v>Forgets medicine when traveling</c:v>
                </c:pt>
                <c:pt idx="3">
                  <c:v>Did not take a dose yesterday</c:v>
                </c:pt>
                <c:pt idx="4">
                  <c:v>Stops when symptoms feel controlled</c:v>
                </c:pt>
                <c:pt idx="5">
                  <c:v>Missed doses for reasons other than forgetting</c:v>
                </c:pt>
                <c:pt idx="6">
                  <c:v>Sometimes forgets to take pills</c:v>
                </c:pt>
                <c:pt idx="7">
                  <c:v>Cut back or stopped because felt worse</c:v>
                </c:pt>
              </c:strCache>
            </c:strRef>
          </c:cat>
          <c:val>
            <c:numRef>
              <c:f>'Figure 1'!$H$2:$H$9</c:f>
              <c:numCache>
                <c:formatCode>0.0</c:formatCode>
                <c:ptCount val="8"/>
                <c:pt idx="0">
                  <c:v>28.4</c:v>
                </c:pt>
                <c:pt idx="2">
                  <c:v>15.2</c:v>
                </c:pt>
                <c:pt idx="3">
                  <c:v>15.2</c:v>
                </c:pt>
                <c:pt idx="6">
                  <c:v>10.4</c:v>
                </c:pt>
              </c:numCache>
            </c:numRef>
          </c:val>
        </c:ser>
        <c:ser>
          <c:idx val="1"/>
          <c:order val="1"/>
          <c:tx>
            <c:strRef>
              <c:f>'Figure 1'!I1</c:f>
              <c:strCache>
                <c:ptCount val="1"/>
                <c:pt idx="0">
                  <c:v>Intentional (decision to omit or stop)</c:v>
                </c:pt>
              </c:strCache>
            </c:strRef>
          </c:tx>
          <c:spPr>
            <a:solidFill>
              <a:srgbClr val="BFBFBF"/>
            </a:solidFill>
            <a:ln w="936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'Figure 1'!$K$2:$K$9</c:f>
                <c:numCache>
                  <c:formatCode>0.0</c:formatCode>
                  <c:ptCount val="8"/>
                  <c:pt idx="0">
                    <c:v>5.9</c:v>
                  </c:pt>
                  <c:pt idx="1">
                    <c:v>5.1</c:v>
                  </c:pt>
                  <c:pt idx="2">
                    <c:v>5</c:v>
                  </c:pt>
                  <c:pt idx="3">
                    <c:v>5</c:v>
                  </c:pt>
                  <c:pt idx="4">
                    <c:v>4.8</c:v>
                  </c:pt>
                  <c:pt idx="5">
                    <c:v>4.6</c:v>
                  </c:pt>
                  <c:pt idx="6">
                    <c:v>4.4</c:v>
                  </c:pt>
                  <c:pt idx="7">
                    <c:v>3.9</c:v>
                  </c:pt>
                </c:numCache>
              </c:numRef>
            </c:plus>
            <c:minus>
              <c:numRef>
                <c:f>'Figure 1'!$J$2:$J$9</c:f>
                <c:numCache>
                  <c:formatCode>0.0</c:formatCode>
                  <c:ptCount val="8"/>
                  <c:pt idx="0">
                    <c:v>5.2</c:v>
                  </c:pt>
                  <c:pt idx="1">
                    <c:v>4</c:v>
                  </c:pt>
                  <c:pt idx="2">
                    <c:v>3.9</c:v>
                  </c:pt>
                  <c:pt idx="3">
                    <c:v>3.9</c:v>
                  </c:pt>
                  <c:pt idx="4">
                    <c:v>3.8</c:v>
                  </c:pt>
                  <c:pt idx="5">
                    <c:v>3.4</c:v>
                  </c:pt>
                  <c:pt idx="6">
                    <c:v>3.2</c:v>
                  </c:pt>
                  <c:pt idx="7">
                    <c:v>2.6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'Figure 1'!$A$2:$A$9</c:f>
              <c:strCache>
                <c:ptCount val="8"/>
                <c:pt idx="0">
                  <c:v>Difficulty remembering all doses</c:v>
                </c:pt>
                <c:pt idx="1">
                  <c:v>Feels hassled by the daily regimen</c:v>
                </c:pt>
                <c:pt idx="2">
                  <c:v>Forgets medicine when traveling</c:v>
                </c:pt>
                <c:pt idx="3">
                  <c:v>Did not take a dose yesterday</c:v>
                </c:pt>
                <c:pt idx="4">
                  <c:v>Stops when symptoms feel controlled</c:v>
                </c:pt>
                <c:pt idx="5">
                  <c:v>Missed doses for reasons other than forgetting</c:v>
                </c:pt>
                <c:pt idx="6">
                  <c:v>Sometimes forgets to take pills</c:v>
                </c:pt>
                <c:pt idx="7">
                  <c:v>Cut back or stopped because felt worse</c:v>
                </c:pt>
              </c:strCache>
            </c:strRef>
          </c:cat>
          <c:val>
            <c:numRef>
              <c:f>'Figure 1'!$I$2:$I$9</c:f>
              <c:numCache>
                <c:formatCode>0.0</c:formatCode>
                <c:ptCount val="8"/>
                <c:pt idx="1">
                  <c:v>16</c:v>
                </c:pt>
                <c:pt idx="4">
                  <c:v>14</c:v>
                </c:pt>
                <c:pt idx="5">
                  <c:v>11.6</c:v>
                </c:pt>
                <c:pt idx="7">
                  <c:v>7.2</c:v>
                </c:pt>
              </c:numCache>
            </c:numRef>
          </c:val>
        </c:ser>
        <c:gapWidth val="60"/>
        <c:overlap val="100"/>
        <c:axId val="93213745"/>
        <c:axId val="30684508"/>
      </c:barChart>
      <c:catAx>
        <c:axId val="932137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MMAS-8 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684508"/>
        <c:crosses val="autoZero"/>
        <c:auto val="1"/>
        <c:lblAlgn val="ctr"/>
        <c:lblOffset val="100"/>
        <c:noMultiLvlLbl val="0"/>
      </c:catAx>
      <c:valAx>
        <c:axId val="30684508"/>
        <c:scaling>
          <c:orientation val="minMax"/>
          <c:max val="4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Patients giving the nonadherent response, % (95% CI)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13745"/>
        <c:crosses val="autoZero"/>
        <c:crossBetween val="between"/>
        <c:majorUnit val="10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246960</xdr:colOff>
      <xdr:row>0</xdr:row>
      <xdr:rowOff>0</xdr:rowOff>
    </xdr:from>
    <xdr:to>
      <xdr:col>17</xdr:col>
      <xdr:colOff>459000</xdr:colOff>
      <xdr:row>28</xdr:row>
      <xdr:rowOff>65520</xdr:rowOff>
    </xdr:to>
    <xdr:graphicFrame>
      <xdr:nvGraphicFramePr>
        <xdr:cNvPr id="1" name="Chart 1"/>
        <xdr:cNvGraphicFramePr/>
      </xdr:nvGraphicFramePr>
      <xdr:xfrm>
        <a:off x="2053080" y="0"/>
        <a:ext cx="863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1" min="2" style="1" width="13"/>
    <col collapsed="false" customWidth="false" hidden="false" outlineLevel="0" max="16384" min="12" style="1" width="8.54"/>
  </cols>
  <sheetData>
    <row r="1" customFormat="false" ht="35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71</v>
      </c>
      <c r="D2" s="1" t="n">
        <v>250</v>
      </c>
      <c r="E2" s="3" t="n">
        <f aca="false">ROUND(C2/D2*100,1)</f>
        <v>28.4</v>
      </c>
      <c r="F2" s="3" t="n">
        <v>23.2</v>
      </c>
      <c r="G2" s="3" t="n">
        <v>34.3</v>
      </c>
      <c r="H2" s="3" t="n">
        <f aca="false">IF(B2="Unintentional",E2,NA())</f>
        <v>28.4</v>
      </c>
      <c r="I2" s="3" t="e">
        <f aca="false">IF(B2="Intentional",E2,NA())</f>
        <v>#N/A</v>
      </c>
      <c r="J2" s="3" t="n">
        <f aca="false">E2-F2</f>
        <v>5.2</v>
      </c>
      <c r="K2" s="3" t="n">
        <f aca="false">G2-E2</f>
        <v>5.9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n">
        <v>40</v>
      </c>
      <c r="D3" s="1" t="n">
        <v>250</v>
      </c>
      <c r="E3" s="3" t="n">
        <f aca="false">ROUND(C3/D3*100,1)</f>
        <v>16</v>
      </c>
      <c r="F3" s="3" t="n">
        <v>12</v>
      </c>
      <c r="G3" s="3" t="n">
        <v>21.1</v>
      </c>
      <c r="H3" s="3" t="e">
        <f aca="false">IF(B3="Unintentional",E3,NA())</f>
        <v>#N/A</v>
      </c>
      <c r="I3" s="3" t="n">
        <f aca="false">IF(B3="Intentional",E3,NA())</f>
        <v>16</v>
      </c>
      <c r="J3" s="3" t="n">
        <f aca="false">E3-F3</f>
        <v>4</v>
      </c>
      <c r="K3" s="3" t="n">
        <f aca="false">G3-E3</f>
        <v>5.1</v>
      </c>
    </row>
    <row r="4" customFormat="false" ht="15" hidden="false" customHeight="false" outlineLevel="0" collapsed="false">
      <c r="A4" s="1" t="s">
        <v>15</v>
      </c>
      <c r="B4" s="1" t="s">
        <v>12</v>
      </c>
      <c r="C4" s="1" t="n">
        <v>38</v>
      </c>
      <c r="D4" s="1" t="n">
        <v>250</v>
      </c>
      <c r="E4" s="3" t="n">
        <f aca="false">ROUND(C4/D4*100,1)</f>
        <v>15.2</v>
      </c>
      <c r="F4" s="3" t="n">
        <v>11.3</v>
      </c>
      <c r="G4" s="3" t="n">
        <v>20.2</v>
      </c>
      <c r="H4" s="3" t="n">
        <f aca="false">IF(B4="Unintentional",E4,NA())</f>
        <v>15.2</v>
      </c>
      <c r="I4" s="3" t="e">
        <f aca="false">IF(B4="Intentional",E4,NA())</f>
        <v>#N/A</v>
      </c>
      <c r="J4" s="3" t="n">
        <f aca="false">E4-F4</f>
        <v>3.9</v>
      </c>
      <c r="K4" s="3" t="n">
        <f aca="false">G4-E4</f>
        <v>5</v>
      </c>
    </row>
    <row r="5" customFormat="false" ht="15" hidden="false" customHeight="false" outlineLevel="0" collapsed="false">
      <c r="A5" s="1" t="s">
        <v>16</v>
      </c>
      <c r="B5" s="1" t="s">
        <v>12</v>
      </c>
      <c r="C5" s="1" t="n">
        <v>38</v>
      </c>
      <c r="D5" s="1" t="n">
        <v>250</v>
      </c>
      <c r="E5" s="3" t="n">
        <f aca="false">ROUND(C5/D5*100,1)</f>
        <v>15.2</v>
      </c>
      <c r="F5" s="3" t="n">
        <v>11.3</v>
      </c>
      <c r="G5" s="3" t="n">
        <v>20.2</v>
      </c>
      <c r="H5" s="3" t="n">
        <f aca="false">IF(B5="Unintentional",E5,NA())</f>
        <v>15.2</v>
      </c>
      <c r="I5" s="3" t="e">
        <f aca="false">IF(B5="Intentional",E5,NA())</f>
        <v>#N/A</v>
      </c>
      <c r="J5" s="3" t="n">
        <f aca="false">E5-F5</f>
        <v>3.9</v>
      </c>
      <c r="K5" s="3" t="n">
        <f aca="false">G5-E5</f>
        <v>5</v>
      </c>
    </row>
    <row r="6" customFormat="false" ht="15" hidden="false" customHeight="false" outlineLevel="0" collapsed="false">
      <c r="A6" s="1" t="s">
        <v>17</v>
      </c>
      <c r="B6" s="1" t="s">
        <v>14</v>
      </c>
      <c r="C6" s="1" t="n">
        <v>35</v>
      </c>
      <c r="D6" s="1" t="n">
        <v>250</v>
      </c>
      <c r="E6" s="3" t="n">
        <f aca="false">ROUND(C6/D6*100,1)</f>
        <v>14</v>
      </c>
      <c r="F6" s="3" t="n">
        <v>10.2</v>
      </c>
      <c r="G6" s="3" t="n">
        <v>18.8</v>
      </c>
      <c r="H6" s="3" t="e">
        <f aca="false">IF(B6="Unintentional",E6,NA())</f>
        <v>#N/A</v>
      </c>
      <c r="I6" s="3" t="n">
        <f aca="false">IF(B6="Intentional",E6,NA())</f>
        <v>14</v>
      </c>
      <c r="J6" s="3" t="n">
        <f aca="false">E6-F6</f>
        <v>3.8</v>
      </c>
      <c r="K6" s="3" t="n">
        <f aca="false">G6-E6</f>
        <v>4.8</v>
      </c>
    </row>
    <row r="7" customFormat="false" ht="15" hidden="false" customHeight="false" outlineLevel="0" collapsed="false">
      <c r="A7" s="1" t="s">
        <v>18</v>
      </c>
      <c r="B7" s="1" t="s">
        <v>14</v>
      </c>
      <c r="C7" s="1" t="n">
        <v>29</v>
      </c>
      <c r="D7" s="1" t="n">
        <v>250</v>
      </c>
      <c r="E7" s="3" t="n">
        <f aca="false">ROUND(C7/D7*100,1)</f>
        <v>11.6</v>
      </c>
      <c r="F7" s="3" t="n">
        <v>8.2</v>
      </c>
      <c r="G7" s="3" t="n">
        <v>16.2</v>
      </c>
      <c r="H7" s="3" t="e">
        <f aca="false">IF(B7="Unintentional",E7,NA())</f>
        <v>#N/A</v>
      </c>
      <c r="I7" s="3" t="n">
        <f aca="false">IF(B7="Intentional",E7,NA())</f>
        <v>11.6</v>
      </c>
      <c r="J7" s="3" t="n">
        <f aca="false">E7-F7</f>
        <v>3.4</v>
      </c>
      <c r="K7" s="3" t="n">
        <f aca="false">G7-E7</f>
        <v>4.6</v>
      </c>
    </row>
    <row r="8" customFormat="false" ht="15" hidden="false" customHeight="false" outlineLevel="0" collapsed="false">
      <c r="A8" s="1" t="s">
        <v>19</v>
      </c>
      <c r="B8" s="1" t="s">
        <v>12</v>
      </c>
      <c r="C8" s="1" t="n">
        <v>26</v>
      </c>
      <c r="D8" s="1" t="n">
        <v>250</v>
      </c>
      <c r="E8" s="3" t="n">
        <f aca="false">ROUND(C8/D8*100,1)</f>
        <v>10.4</v>
      </c>
      <c r="F8" s="3" t="n">
        <v>7.2</v>
      </c>
      <c r="G8" s="3" t="n">
        <v>14.8</v>
      </c>
      <c r="H8" s="3" t="n">
        <f aca="false">IF(B8="Unintentional",E8,NA())</f>
        <v>10.4</v>
      </c>
      <c r="I8" s="3" t="e">
        <f aca="false">IF(B8="Intentional",E8,NA())</f>
        <v>#N/A</v>
      </c>
      <c r="J8" s="3" t="n">
        <f aca="false">E8-F8</f>
        <v>3.2</v>
      </c>
      <c r="K8" s="3" t="n">
        <f aca="false">G8-E8</f>
        <v>4.4</v>
      </c>
    </row>
    <row r="9" customFormat="false" ht="15" hidden="false" customHeight="false" outlineLevel="0" collapsed="false">
      <c r="A9" s="1" t="s">
        <v>20</v>
      </c>
      <c r="B9" s="1" t="s">
        <v>14</v>
      </c>
      <c r="C9" s="1" t="n">
        <v>18</v>
      </c>
      <c r="D9" s="1" t="n">
        <v>250</v>
      </c>
      <c r="E9" s="3" t="n">
        <f aca="false">ROUND(C9/D9*100,1)</f>
        <v>7.2</v>
      </c>
      <c r="F9" s="3" t="n">
        <v>4.6</v>
      </c>
      <c r="G9" s="3" t="n">
        <v>11.1</v>
      </c>
      <c r="H9" s="3" t="e">
        <f aca="false">IF(B9="Unintentional",E9,NA())</f>
        <v>#N/A</v>
      </c>
      <c r="I9" s="3" t="n">
        <f aca="false">IF(B9="Intentional",E9,NA())</f>
        <v>7.2</v>
      </c>
      <c r="J9" s="3" t="n">
        <f aca="false">E9-F9</f>
        <v>2.6</v>
      </c>
      <c r="K9" s="3" t="n">
        <f aca="false">G9-E9</f>
        <v>3.9</v>
      </c>
    </row>
    <row r="11" customFormat="false" ht="15" hidden="false" customHeight="false" outlineLevel="0" collapsed="false">
      <c r="A11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5" activeCellId="0" sqref="S5"/>
    </sheetView>
  </sheetViews>
  <sheetFormatPr defaultColWidth="8.54296875" defaultRowHeight="15" customHeight="false" zeroHeight="false" outlineLevelRow="0" outlineLevelCol="0"/>
  <sheetData>
    <row r="13" customFormat="false" ht="15" hidden="false" customHeight="false" outlineLevel="0" collapsed="false">
      <c r="B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2026-10-29T13:01:29Z</dcterms:created>
  <dc:creator>openpyxl</dc:creator>
  <dc:description/>
  <dc:language>en-US</dc:language>
  <cp:lastModifiedBy/>
  <dcterms:modified xsi:type="dcterms:W3CDTF">2026-10-29T09:48:01Z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